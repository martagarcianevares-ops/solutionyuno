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Model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<sst xmlns="http://schemas.openxmlformats.org/spreadsheetml/2006/main" count="194" uniqueCount="166">
  <si>
    <t xml:space="preserve">NexaLearn x Yuno — Financial Impact Model (supporting workbook)</t>
  </si>
  <si>
    <t xml:space="preserve">Illustrative model. All figures annual, USD. Baseline = NexaLearn finance actuals ($89M TPV) [D].</t>
  </si>
  <si>
    <t xml:space="preserve">Origin tags (same as the proposal document):</t>
  </si>
  <si>
    <t xml:space="preserve">[D] Dossier data   [C] Our calculation   [P] Public source (see Sources)   [H] Hypothesis to validate with NexaLearn</t>
  </si>
  <si>
    <t xml:space="preserve">Colour code:</t>
  </si>
  <si>
    <t xml:space="preserve">Blue text = input you can change · Black = formula · Green = link to Inputs sheet · Yellow fill = key assumption</t>
  </si>
  <si>
    <t xml:space="preserve">Sheets:</t>
  </si>
  <si>
    <t xml:space="preserve">Inputs — every assumption, with tag and source</t>
  </si>
  <si>
    <t xml:space="preserve">Model — PSP fees by segment, TCO in 3 scenarios, revenue recovery, net benefit and payback</t>
  </si>
  <si>
    <t xml:space="preserve">Sensitivity — transaction-count and volume sensitivities</t>
  </si>
  <si>
    <t xml:space="preserve">Sources:</t>
  </si>
  <si>
    <t xml:space="preserve">[P1] Stripe pricing (US): 2.9% + $0.30; +1.5% international cards; +1% currency conversion — https://stripe.com/pricing</t>
  </si>
  <si>
    <t xml:space="preserve">[P2] Stripe local payment methods: Pix 2%, UPI 2%, OXXO 4% + $0.30 — https://stripe.com/pricing/local-payment-methods</t>
  </si>
  <si>
    <t xml:space="preserve">[P3] Paystack Nigeria: local cards 1.5% + NGN 100 (capped); international 3.9% + NGN 100 — https://paystack.com/pricing</t>
  </si>
  <si>
    <t xml:space="preserve">[P4] Razorpay India: domestic cards 2%; zero MDR on standard UPI — https://razorpay.com/pricing/</t>
  </si>
  <si>
    <t xml:space="preserve">[P5] Xendit Indonesia: QRIS 0.7%; OVO/GoPay for digital merchants 5.0–5.5% — https://www.xendit.co/en-id/pricing/</t>
  </si>
  <si>
    <t xml:space="preserve">Inputs &amp; assumptions</t>
  </si>
  <si>
    <t xml:space="preserve">A. Payment segments and pricing by scenario</t>
  </si>
  <si>
    <t xml:space="preserve">Segment</t>
  </si>
  <si>
    <t xml:space="preserve">Annual volume ($)</t>
  </si>
  <si>
    <t xml:space="preserve">Transactions</t>
  </si>
  <si>
    <t xml:space="preserve">Current PSP</t>
  </si>
  <si>
    <t xml:space="preserve">Current %</t>
  </si>
  <si>
    <t xml:space="preserve">Current $/tx</t>
  </si>
  <si>
    <t xml:space="preserve">Stripe offer %</t>
  </si>
  <si>
    <t xml:space="preserve">Stripe offer $/tx</t>
  </si>
  <si>
    <t xml:space="preserve">Yuno route — cons %</t>
  </si>
  <si>
    <t xml:space="preserve">Yuno route — cons $/tx</t>
  </si>
  <si>
    <t xml:space="preserve">Yuno route — base %</t>
  </si>
  <si>
    <t xml:space="preserve">Yuno route — base $/tx</t>
  </si>
  <si>
    <t xml:space="preserve">Tag / rationale</t>
  </si>
  <si>
    <t xml:space="preserve">SEA — Stripe cards</t>
  </si>
  <si>
    <t xml:space="preserve">Stripe</t>
  </si>
  <si>
    <t xml:space="preserve">[D][C] SEA $34M minus Xendit $10.7M; tx = 920K minus Xendit 110K. Stays on Stripe (discounted) under Yuno</t>
  </si>
  <si>
    <t xml:space="preserve">SEA — Xendit APMs</t>
  </si>
  <si>
    <t xml:space="preserve">Xendit</t>
  </si>
  <si>
    <t xml:space="preserve">[D] Tx derived from $27.5K fixed fees / $0.25 [C]. Unchanged: local wallets cost more, not less [P5]</t>
  </si>
  <si>
    <t xml:space="preserve">India</t>
  </si>
  <si>
    <t xml:space="preserve">[D] volume/tx. Yuno route = local acquiring + UPI: base 2.0%, cons 2.5% [H]; ref. Razorpay 2% cards, zero-MDR UPI [P4]</t>
  </si>
  <si>
    <t xml:space="preserve">Africa</t>
  </si>
  <si>
    <t xml:space="preserve">Paystack</t>
  </si>
  <si>
    <t xml:space="preserve">[D] volume/tx. Stripe offer does not change Paystack. Yuno route = local acquiring: base 2.0%, cons 2.5% [H]; ref. Paystack local NG cards 1.5% [P3]</t>
  </si>
  <si>
    <t xml:space="preserve">LatAm</t>
  </si>
  <si>
    <t xml:space="preserve">[D] volume/tx. Yuno route = local acquiring + Pix/OXXO: base 2.5%, cons 3.0% [H]; ref. Pix 2% list [P2]</t>
  </si>
  <si>
    <t xml:space="preserve">Europe</t>
  </si>
  <si>
    <t xml:space="preserve">[D] Stays on Stripe (already local acquiring)</t>
  </si>
  <si>
    <t xml:space="preserve">North America</t>
  </si>
  <si>
    <t xml:space="preserve">[D] Stays on Stripe (domestic processing)</t>
  </si>
  <si>
    <t xml:space="preserve">Total</t>
  </si>
  <si>
    <t xml:space="preserve">[C] Regional table sums to 2.2M tx vs 2.1M stated by NexaLearn — see Sensitivity</t>
  </si>
  <si>
    <t xml:space="preserve">B. Approval-rate uplift by region (applied to attempted volume)</t>
  </si>
  <si>
    <t xml:space="preserve">Region</t>
  </si>
  <si>
    <t xml:space="preserve">Approved volume ($)</t>
  </si>
  <si>
    <t xml:space="preserve">Current approval rate</t>
  </si>
  <si>
    <t xml:space="preserve">Uplift — conservative (pts)</t>
  </si>
  <si>
    <t xml:space="preserve">Uplift — base (pts)</t>
  </si>
  <si>
    <t xml:space="preserve">Rationale</t>
  </si>
  <si>
    <t xml:space="preserve">Southeast Asia</t>
  </si>
  <si>
    <t xml:space="preserve">[D] Cross-border cards: Indonesia 76%, Philippines 78%. Lower uplift because Stripe claims new local acquiring in Indonesia [D] [H]</t>
  </si>
  <si>
    <t xml:space="preserve">[D] 14% soft declines (3DS friction + cross-border); UPI not supported. Local acquiring typically +5–15 pts [D]</t>
  </si>
  <si>
    <t xml:space="preserve">[D] Nigerian cards declined at 29% (fraud false positives + cross-border issuer blocks)</t>
  </si>
  <si>
    <t xml:space="preserve">Latin America</t>
  </si>
  <si>
    <t xml:space="preserve">[D] Brazilian cards via Stripe US entity; no Pix; no OXXO</t>
  </si>
  <si>
    <t xml:space="preserve">[D] Already local acquiring — no uplift modelled</t>
  </si>
  <si>
    <t xml:space="preserve">[D] Domestic processing — no uplift modelled</t>
  </si>
  <si>
    <t xml:space="preserve">C. Yuno pricing (proposal)</t>
  </si>
  <si>
    <t xml:space="preserve">Platform fee — per transaction</t>
  </si>
  <si>
    <t xml:space="preserve">[D] Bottom of Yuno typical range ($0.08–0.15) given scale</t>
  </si>
  <si>
    <t xml:space="preserve">Platform fee — % of volume</t>
  </si>
  <si>
    <t xml:space="preserve">[D] Bottom of Yuno typical range (0.3–0.6%)</t>
  </si>
  <si>
    <t xml:space="preserve">Success fee — % of loss-making-region volume</t>
  </si>
  <si>
    <t xml:space="preserve">Payable only if agreed uplift per region is met (risk-sharing, not a guarantee)</t>
  </si>
  <si>
    <t xml:space="preserve">Loss-making-region volume (SEA, India, Africa, LatAm)</t>
  </si>
  <si>
    <t xml:space="preserve">[C]</t>
  </si>
  <si>
    <t xml:space="preserve">D. Operations, recovery economics and switching cost</t>
  </si>
  <si>
    <t xml:space="preserve">Routing-layer maintenance (0.5 FTE)</t>
  </si>
  <si>
    <t xml:space="preserve">[D] Eliminated with Yuno</t>
  </si>
  <si>
    <t xml:space="preserve">Manual failed-payment recovery labour</t>
  </si>
  <si>
    <t xml:space="preserve">[D]</t>
  </si>
  <si>
    <t xml:space="preserve">Share of manual recovery labour automated</t>
  </si>
  <si>
    <t xml:space="preserve">[H] Automated retries/dunning replace most manual emails</t>
  </si>
  <si>
    <t xml:space="preserve">All-in processing cost on recovered revenue</t>
  </si>
  <si>
    <t xml:space="preserve">[H] Recovered transactions also pay MDR + Yuno fee</t>
  </si>
  <si>
    <t xml:space="preserve">Risk adjustment applied to conservative uplift</t>
  </si>
  <si>
    <t xml:space="preserve">[H] CFO-grade haircut: only 50% of conservative case counted for payback</t>
  </si>
  <si>
    <t xml:space="preserve">Switching cost — Yuno-led, phased</t>
  </si>
  <si>
    <t xml:space="preserve">[H] To validate with Solutions Engineering</t>
  </si>
  <si>
    <t xml:space="preserve">Switching cost — worst case (CFO estimate)</t>
  </si>
  <si>
    <t xml:space="preserve">[D] Amara: 6-month migration</t>
  </si>
  <si>
    <t xml:space="preserve">Current cost as reported by NexaLearn finance</t>
  </si>
  <si>
    <t xml:space="preserve">[D] Bottom-up model differs: finance applies $0.30 to all 2.1M tx [C]</t>
  </si>
  <si>
    <t xml:space="preserve">E. Sensitivity inputs</t>
  </si>
  <si>
    <t xml:space="preserve">Alternative transaction count (max consistent with price ranges)</t>
  </si>
  <si>
    <t xml:space="preserve">[C] 68% subs at ≥$199 ⇒ ≤304K tx; 32% courses at ≥$29 ⇒ ≤982K tx</t>
  </si>
  <si>
    <t xml:space="preserve">Alternative TPV (finance pacing this year)</t>
  </si>
  <si>
    <t xml:space="preserve">Model</t>
  </si>
  <si>
    <t xml:space="preserve">1. PSP fees (MDR) by segment — % component and per-transaction component</t>
  </si>
  <si>
    <t xml:space="preserve">Current — %</t>
  </si>
  <si>
    <t xml:space="preserve">Current — fixed</t>
  </si>
  <si>
    <t xml:space="preserve">Stripe offer — %</t>
  </si>
  <si>
    <t xml:space="preserve">Stripe offer — fixed</t>
  </si>
  <si>
    <t xml:space="preserve">Stripe+Yuno cons — %</t>
  </si>
  <si>
    <t xml:space="preserve">Stripe+Yuno cons — fixed</t>
  </si>
  <si>
    <t xml:space="preserve">Stripe+Yuno base — %</t>
  </si>
  <si>
    <t xml:space="preserve">Stripe+Yuno base — fixed</t>
  </si>
  <si>
    <t xml:space="preserve">2. Total cost of ownership (annual, $)</t>
  </si>
  <si>
    <t xml:space="preserve">Line</t>
  </si>
  <si>
    <t xml:space="preserve">Current state</t>
  </si>
  <si>
    <t xml:space="preserve">Stripe offer (renew only)</t>
  </si>
  <si>
    <t xml:space="preserve">Stripe + Yuno — conservative</t>
  </si>
  <si>
    <t xml:space="preserve">Stripe + Yuno — base</t>
  </si>
  <si>
    <t xml:space="preserve">Tag</t>
  </si>
  <si>
    <t xml:space="preserve">PSP fees (MDR)</t>
  </si>
  <si>
    <t xml:space="preserve">[D][C][P][H]</t>
  </si>
  <si>
    <t xml:space="preserve">Yuno platform fee (per tx)</t>
  </si>
  <si>
    <t xml:space="preserve">Yuno platform fee (% of volume)</t>
  </si>
  <si>
    <t xml:space="preserve">Yuno success fee (if uplift met)</t>
  </si>
  <si>
    <t xml:space="preserve">Routing-layer maintenance</t>
  </si>
  <si>
    <t xml:space="preserve">Manual recovery labour</t>
  </si>
  <si>
    <t xml:space="preserve">[D][H]</t>
  </si>
  <si>
    <t xml:space="preserve">Total annual payments TCO</t>
  </si>
  <si>
    <t xml:space="preserve">Δ vs current (negative = saving)</t>
  </si>
  <si>
    <t xml:space="preserve">Δ vs Stripe offer (negative = saving)</t>
  </si>
  <si>
    <t xml:space="preserve">Effective PSP+Yuno rate on TPV</t>
  </si>
  <si>
    <t xml:space="preserve">Memo: current cost reported by NexaLearn finance</t>
  </si>
  <si>
    <t xml:space="preserve">[D] Gap vs bottom-up = $0.30 applied to all 2.1M tx</t>
  </si>
  <si>
    <t xml:space="preserve">3. Revenue recovery from approval-rate uplift (gross, annual)</t>
  </si>
  <si>
    <t xml:space="preserve">Approved volume</t>
  </si>
  <si>
    <t xml:space="preserve">Approval rate</t>
  </si>
  <si>
    <t xml:space="preserve">Attempted volume</t>
  </si>
  <si>
    <t xml:space="preserve">Recovered — conservative</t>
  </si>
  <si>
    <t xml:space="preserve">Recovered — base</t>
  </si>
  <si>
    <t xml:space="preserve">Recovered — risk-adjusted</t>
  </si>
  <si>
    <t xml:space="preserve">4. Net annual benefit of Stripe + Yuno vs Stripe offer, and payback</t>
  </si>
  <si>
    <t xml:space="preserve">Risk-adjusted</t>
  </si>
  <si>
    <t xml:space="preserve">Conservative</t>
  </si>
  <si>
    <t xml:space="preserve">Base</t>
  </si>
  <si>
    <t xml:space="preserve">Gross revenue recovered</t>
  </si>
  <si>
    <t xml:space="preserve">Less: processing cost on recovered revenue</t>
  </si>
  <si>
    <t xml:space="preserve">[H]</t>
  </si>
  <si>
    <t xml:space="preserve">Net revenue recovered</t>
  </si>
  <si>
    <t xml:space="preserve">Less: extra TCO vs Stripe offer (fees + ops)</t>
  </si>
  <si>
    <t xml:space="preserve">Net annual benefit vs Stripe offer</t>
  </si>
  <si>
    <t xml:space="preserve">Payback — Yuno-led switching cost (months)</t>
  </si>
  <si>
    <t xml:space="preserve">[C][H]</t>
  </si>
  <si>
    <t xml:space="preserve">Payback — worst-case switching cost (months)</t>
  </si>
  <si>
    <t xml:space="preserve">[C][D]</t>
  </si>
  <si>
    <t xml:space="preserve">Net annual benefit vs current state</t>
  </si>
  <si>
    <t xml:space="preserve">Net benefit vs current state as % of current TCO</t>
  </si>
  <si>
    <t xml:space="preserve">[C] CFO target: 20%</t>
  </si>
  <si>
    <t xml:space="preserve">Note: risk-adjusted column uses conservative fees (incl. success fee) against only 50% of conservative recovery.</t>
  </si>
  <si>
    <t xml:space="preserve">Downside if uplift = 0: extra cost vs Stripe offer (no success fee paid)</t>
  </si>
  <si>
    <t xml:space="preserve">[C] Used in Objection B</t>
  </si>
  <si>
    <t xml:space="preserve">Cost of waiting one quarter (risk-adjusted net benefit / 4)</t>
  </si>
  <si>
    <t xml:space="preserve">[C] Used in Objection D</t>
  </si>
  <si>
    <t xml:space="preserve">Sensitivity</t>
  </si>
  <si>
    <t xml:space="preserve">Fixed per-transaction components scale with transaction count; everything scales with TPV (constant ticket).</t>
  </si>
  <si>
    <t xml:space="preserve">tx factor</t>
  </si>
  <si>
    <t xml:space="preserve">Output</t>
  </si>
  <si>
    <t xml:space="preserve">Base model (2.2M tx, $89M)</t>
  </si>
  <si>
    <t xml:space="preserve">Tx = 1.29M</t>
  </si>
  <si>
    <t xml:space="preserve">TPV = $103M</t>
  </si>
  <si>
    <t xml:space="preserve">Current TCO</t>
  </si>
  <si>
    <t xml:space="preserve">Stripe offer TCO</t>
  </si>
  <si>
    <t xml:space="preserve">Stripe + Yuno TCO (conservative)</t>
  </si>
  <si>
    <t xml:space="preserve">Net annual benefit vs Stripe offer (risk-adjusted)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</si>
</sst>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"/>
    <numFmt numFmtId="167" formatCode="0.0%;\(0.0%\);\-"/>
    <numFmt numFmtId="168" formatCode="\$0.00"/>
    <numFmt numFmtId="169" formatCode="0.00%"/>
    <numFmt numFmtId="170" formatCode="0.0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15"/>
    <col collapsed="false" customWidth="true" hidden="false" outlineLevel="0" max="13" min="13" style="0" width="70"/>
  </cols>
  <sheetData>
    <row r="1" customFormat="false" ht="17.35" hidden="false" customHeight="false" outlineLevel="0" collapsed="false">
      <c r="A1" s="1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3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6.8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</row>
    <row r="5" customFormat="false" ht="15" hidden="false" customHeight="false" outlineLevel="0" collapsed="false">
      <c r="A5" s="2" t="s">
        <v>31</v>
      </c>
      <c r="B5" s="6" t="n">
        <v>23300000</v>
      </c>
      <c r="C5" s="7" t="n">
        <v>810000</v>
      </c>
      <c r="D5" s="2" t="s">
        <v>32</v>
      </c>
      <c r="E5" s="8" t="n">
        <v>0.029</v>
      </c>
      <c r="F5" s="9" t="n">
        <v>0.3</v>
      </c>
      <c r="G5" s="8" t="n">
        <v>0.026</v>
      </c>
      <c r="H5" s="9" t="n">
        <v>0.25</v>
      </c>
      <c r="I5" s="8" t="n">
        <v>0.026</v>
      </c>
      <c r="J5" s="9" t="n">
        <v>0.25</v>
      </c>
      <c r="K5" s="8" t="n">
        <v>0.026</v>
      </c>
      <c r="L5" s="9" t="n">
        <v>0.25</v>
      </c>
      <c r="M5" s="2" t="s">
        <v>33</v>
      </c>
    </row>
    <row r="6" customFormat="false" ht="15" hidden="false" customHeight="false" outlineLevel="0" collapsed="false">
      <c r="A6" s="2" t="s">
        <v>34</v>
      </c>
      <c r="B6" s="6" t="n">
        <v>10700000</v>
      </c>
      <c r="C6" s="7" t="n">
        <v>110000</v>
      </c>
      <c r="D6" s="2" t="s">
        <v>35</v>
      </c>
      <c r="E6" s="8" t="n">
        <v>0.032</v>
      </c>
      <c r="F6" s="9" t="n">
        <v>0.25</v>
      </c>
      <c r="G6" s="8" t="n">
        <v>0.032</v>
      </c>
      <c r="H6" s="9" t="n">
        <v>0.25</v>
      </c>
      <c r="I6" s="8" t="n">
        <v>0.032</v>
      </c>
      <c r="J6" s="9" t="n">
        <v>0.25</v>
      </c>
      <c r="K6" s="8" t="n">
        <v>0.032</v>
      </c>
      <c r="L6" s="9" t="n">
        <v>0.25</v>
      </c>
      <c r="M6" s="2" t="s">
        <v>36</v>
      </c>
    </row>
    <row r="7" customFormat="false" ht="15" hidden="false" customHeight="false" outlineLevel="0" collapsed="false">
      <c r="A7" s="2" t="s">
        <v>37</v>
      </c>
      <c r="B7" s="6" t="n">
        <v>18000000</v>
      </c>
      <c r="C7" s="7" t="n">
        <v>340000</v>
      </c>
      <c r="D7" s="2" t="s">
        <v>32</v>
      </c>
      <c r="E7" s="8" t="n">
        <v>0.029</v>
      </c>
      <c r="F7" s="9" t="n">
        <v>0.3</v>
      </c>
      <c r="G7" s="8" t="n">
        <v>0.026</v>
      </c>
      <c r="H7" s="9" t="n">
        <v>0.25</v>
      </c>
      <c r="I7" s="10" t="n">
        <v>0.025</v>
      </c>
      <c r="J7" s="9" t="n">
        <v>0</v>
      </c>
      <c r="K7" s="10" t="n">
        <v>0.02</v>
      </c>
      <c r="L7" s="9" t="n">
        <v>0</v>
      </c>
      <c r="M7" s="2" t="s">
        <v>38</v>
      </c>
    </row>
    <row r="8" customFormat="false" ht="15" hidden="false" customHeight="false" outlineLevel="0" collapsed="false">
      <c r="A8" s="2" t="s">
        <v>39</v>
      </c>
      <c r="B8" s="6" t="n">
        <v>8900000</v>
      </c>
      <c r="C8" s="7" t="n">
        <v>190000</v>
      </c>
      <c r="D8" s="2" t="s">
        <v>40</v>
      </c>
      <c r="E8" s="8" t="n">
        <v>0.035</v>
      </c>
      <c r="F8" s="9" t="n">
        <v>0.15</v>
      </c>
      <c r="G8" s="8" t="n">
        <v>0.035</v>
      </c>
      <c r="H8" s="9" t="n">
        <v>0.15</v>
      </c>
      <c r="I8" s="10" t="n">
        <v>0.025</v>
      </c>
      <c r="J8" s="9" t="n">
        <v>0</v>
      </c>
      <c r="K8" s="10" t="n">
        <v>0.02</v>
      </c>
      <c r="L8" s="9" t="n">
        <v>0</v>
      </c>
      <c r="M8" s="2" t="s">
        <v>41</v>
      </c>
    </row>
    <row r="9" customFormat="false" ht="15" hidden="false" customHeight="false" outlineLevel="0" collapsed="false">
      <c r="A9" s="2" t="s">
        <v>42</v>
      </c>
      <c r="B9" s="6" t="n">
        <v>11000000</v>
      </c>
      <c r="C9" s="7" t="n">
        <v>280000</v>
      </c>
      <c r="D9" s="2" t="s">
        <v>32</v>
      </c>
      <c r="E9" s="8" t="n">
        <v>0.029</v>
      </c>
      <c r="F9" s="9" t="n">
        <v>0.3</v>
      </c>
      <c r="G9" s="8" t="n">
        <v>0.026</v>
      </c>
      <c r="H9" s="9" t="n">
        <v>0.25</v>
      </c>
      <c r="I9" s="10" t="n">
        <v>0.03</v>
      </c>
      <c r="J9" s="9" t="n">
        <v>0</v>
      </c>
      <c r="K9" s="10" t="n">
        <v>0.025</v>
      </c>
      <c r="L9" s="9" t="n">
        <v>0</v>
      </c>
      <c r="M9" s="2" t="s">
        <v>43</v>
      </c>
    </row>
    <row r="10" customFormat="false" ht="15" hidden="false" customHeight="false" outlineLevel="0" collapsed="false">
      <c r="A10" s="2" t="s">
        <v>44</v>
      </c>
      <c r="B10" s="6" t="n">
        <v>10000000</v>
      </c>
      <c r="C10" s="7" t="n">
        <v>240000</v>
      </c>
      <c r="D10" s="2" t="s">
        <v>32</v>
      </c>
      <c r="E10" s="8" t="n">
        <v>0.029</v>
      </c>
      <c r="F10" s="9" t="n">
        <v>0.3</v>
      </c>
      <c r="G10" s="8" t="n">
        <v>0.026</v>
      </c>
      <c r="H10" s="9" t="n">
        <v>0.25</v>
      </c>
      <c r="I10" s="8" t="n">
        <v>0.026</v>
      </c>
      <c r="J10" s="9" t="n">
        <v>0.25</v>
      </c>
      <c r="K10" s="8" t="n">
        <v>0.026</v>
      </c>
      <c r="L10" s="9" t="n">
        <v>0.25</v>
      </c>
      <c r="M10" s="2" t="s">
        <v>45</v>
      </c>
    </row>
    <row r="11" customFormat="false" ht="15" hidden="false" customHeight="false" outlineLevel="0" collapsed="false">
      <c r="A11" s="2" t="s">
        <v>46</v>
      </c>
      <c r="B11" s="6" t="n">
        <v>7100000</v>
      </c>
      <c r="C11" s="7" t="n">
        <v>230000</v>
      </c>
      <c r="D11" s="2" t="s">
        <v>32</v>
      </c>
      <c r="E11" s="8" t="n">
        <v>0.029</v>
      </c>
      <c r="F11" s="9" t="n">
        <v>0.3</v>
      </c>
      <c r="G11" s="8" t="n">
        <v>0.026</v>
      </c>
      <c r="H11" s="9" t="n">
        <v>0.25</v>
      </c>
      <c r="I11" s="8" t="n">
        <v>0.026</v>
      </c>
      <c r="J11" s="9" t="n">
        <v>0.25</v>
      </c>
      <c r="K11" s="8" t="n">
        <v>0.026</v>
      </c>
      <c r="L11" s="9" t="n">
        <v>0.25</v>
      </c>
      <c r="M11" s="2" t="s">
        <v>47</v>
      </c>
    </row>
    <row r="12" customFormat="false" ht="15" hidden="false" customHeight="false" outlineLevel="0" collapsed="false">
      <c r="A12" s="3" t="s">
        <v>48</v>
      </c>
      <c r="B12" s="11" t="n">
        <f aca="false">SUM(B5:B11)</f>
        <v>89000000</v>
      </c>
      <c r="C12" s="12" t="n">
        <f aca="false">SUM(C5:C11)</f>
        <v>2200000</v>
      </c>
      <c r="D12" s="4"/>
      <c r="E12" s="4"/>
      <c r="F12" s="4"/>
      <c r="G12" s="4"/>
      <c r="H12" s="4"/>
      <c r="I12" s="4"/>
      <c r="J12" s="4"/>
      <c r="K12" s="4"/>
      <c r="L12" s="4"/>
      <c r="M12" s="4" t="s">
        <v>49</v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3" t="s">
        <v>50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39.55" hidden="false" customHeight="false" outlineLevel="0" collapsed="false">
      <c r="A15" s="5" t="s">
        <v>51</v>
      </c>
      <c r="B15" s="5" t="s">
        <v>52</v>
      </c>
      <c r="C15" s="5" t="s">
        <v>53</v>
      </c>
      <c r="D15" s="5" t="s">
        <v>54</v>
      </c>
      <c r="E15" s="5" t="s">
        <v>55</v>
      </c>
      <c r="F15" s="5" t="s">
        <v>56</v>
      </c>
      <c r="G15" s="4"/>
      <c r="H15" s="4"/>
      <c r="I15" s="4"/>
      <c r="J15" s="4"/>
      <c r="K15" s="4"/>
      <c r="L15" s="4"/>
      <c r="M15" s="4"/>
    </row>
    <row r="16" customFormat="false" ht="15" hidden="false" customHeight="false" outlineLevel="0" collapsed="false">
      <c r="A16" s="2" t="s">
        <v>57</v>
      </c>
      <c r="B16" s="13" t="n">
        <f aca="false">B5+B6</f>
        <v>34000000</v>
      </c>
      <c r="C16" s="8" t="n">
        <v>0.81</v>
      </c>
      <c r="D16" s="10" t="n">
        <v>0.015</v>
      </c>
      <c r="E16" s="10" t="n">
        <v>0.03</v>
      </c>
      <c r="F16" s="2" t="s">
        <v>58</v>
      </c>
      <c r="G16" s="4"/>
      <c r="H16" s="4"/>
      <c r="I16" s="4"/>
      <c r="J16" s="4"/>
      <c r="K16" s="4"/>
      <c r="L16" s="4"/>
      <c r="M16" s="4"/>
    </row>
    <row r="17" customFormat="false" ht="15" hidden="false" customHeight="false" outlineLevel="0" collapsed="false">
      <c r="A17" s="2" t="s">
        <v>37</v>
      </c>
      <c r="B17" s="13" t="n">
        <f aca="false">B7</f>
        <v>18000000</v>
      </c>
      <c r="C17" s="8" t="n">
        <v>0.79</v>
      </c>
      <c r="D17" s="10" t="n">
        <v>0.03</v>
      </c>
      <c r="E17" s="10" t="n">
        <v>0.05</v>
      </c>
      <c r="F17" s="2" t="s">
        <v>59</v>
      </c>
      <c r="G17" s="4"/>
      <c r="H17" s="4"/>
      <c r="I17" s="4"/>
      <c r="J17" s="4"/>
      <c r="K17" s="4"/>
      <c r="L17" s="4"/>
      <c r="M17" s="4"/>
    </row>
    <row r="18" customFormat="false" ht="15" hidden="false" customHeight="false" outlineLevel="0" collapsed="false">
      <c r="A18" s="2" t="s">
        <v>39</v>
      </c>
      <c r="B18" s="13" t="n">
        <f aca="false">B8</f>
        <v>8900000</v>
      </c>
      <c r="C18" s="8" t="n">
        <v>0.73</v>
      </c>
      <c r="D18" s="10" t="n">
        <v>0.03</v>
      </c>
      <c r="E18" s="10" t="n">
        <v>0.05</v>
      </c>
      <c r="F18" s="2" t="s">
        <v>60</v>
      </c>
      <c r="G18" s="4"/>
      <c r="H18" s="4"/>
      <c r="I18" s="4"/>
      <c r="J18" s="4"/>
      <c r="K18" s="4"/>
      <c r="L18" s="4"/>
      <c r="M18" s="4"/>
    </row>
    <row r="19" customFormat="false" ht="15" hidden="false" customHeight="false" outlineLevel="0" collapsed="false">
      <c r="A19" s="2" t="s">
        <v>61</v>
      </c>
      <c r="B19" s="13" t="n">
        <f aca="false">B9</f>
        <v>11000000</v>
      </c>
      <c r="C19" s="8" t="n">
        <v>0.77</v>
      </c>
      <c r="D19" s="10" t="n">
        <v>0.03</v>
      </c>
      <c r="E19" s="10" t="n">
        <v>0.05</v>
      </c>
      <c r="F19" s="2" t="s">
        <v>62</v>
      </c>
      <c r="G19" s="4"/>
      <c r="H19" s="4"/>
      <c r="I19" s="4"/>
      <c r="J19" s="4"/>
      <c r="K19" s="4"/>
      <c r="L19" s="4"/>
      <c r="M19" s="4"/>
    </row>
    <row r="20" customFormat="false" ht="15" hidden="false" customHeight="false" outlineLevel="0" collapsed="false">
      <c r="A20" s="2" t="s">
        <v>44</v>
      </c>
      <c r="B20" s="13" t="n">
        <f aca="false">B10</f>
        <v>10000000</v>
      </c>
      <c r="C20" s="8" t="n">
        <v>0.86</v>
      </c>
      <c r="D20" s="8" t="n">
        <v>0</v>
      </c>
      <c r="E20" s="8" t="n">
        <v>0</v>
      </c>
      <c r="F20" s="2" t="s">
        <v>63</v>
      </c>
      <c r="G20" s="4"/>
      <c r="H20" s="4"/>
      <c r="I20" s="4"/>
      <c r="J20" s="4"/>
      <c r="K20" s="4"/>
      <c r="L20" s="4"/>
      <c r="M20" s="4"/>
    </row>
    <row r="21" customFormat="false" ht="15" hidden="false" customHeight="false" outlineLevel="0" collapsed="false">
      <c r="A21" s="2" t="s">
        <v>46</v>
      </c>
      <c r="B21" s="13" t="n">
        <f aca="false">B11</f>
        <v>7100000</v>
      </c>
      <c r="C21" s="8" t="n">
        <v>0.88</v>
      </c>
      <c r="D21" s="8" t="n">
        <v>0</v>
      </c>
      <c r="E21" s="8" t="n">
        <v>0</v>
      </c>
      <c r="F21" s="2" t="s">
        <v>64</v>
      </c>
      <c r="G21" s="4"/>
      <c r="H21" s="4"/>
      <c r="I21" s="4"/>
      <c r="J21" s="4"/>
      <c r="K21" s="4"/>
      <c r="L21" s="4"/>
      <c r="M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5" hidden="false" customHeight="false" outlineLevel="0" collapsed="false">
      <c r="A23" s="3" t="s">
        <v>65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5" hidden="false" customHeight="false" outlineLevel="0" collapsed="false">
      <c r="A24" s="2" t="s">
        <v>66</v>
      </c>
      <c r="B24" s="14" t="n">
        <v>0.08</v>
      </c>
      <c r="C24" s="2" t="s">
        <v>67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5" hidden="false" customHeight="false" outlineLevel="0" collapsed="false">
      <c r="A25" s="2" t="s">
        <v>68</v>
      </c>
      <c r="B25" s="15" t="n">
        <v>0.003</v>
      </c>
      <c r="C25" s="2" t="s">
        <v>69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5" hidden="false" customHeight="false" outlineLevel="0" collapsed="false">
      <c r="A26" s="2" t="s">
        <v>70</v>
      </c>
      <c r="B26" s="16" t="n">
        <v>0.001</v>
      </c>
      <c r="C26" s="2" t="s">
        <v>71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5" hidden="false" customHeight="false" outlineLevel="0" collapsed="false">
      <c r="A27" s="2" t="s">
        <v>72</v>
      </c>
      <c r="B27" s="17" t="n">
        <f aca="false">SUM(B16:B19)</f>
        <v>71900000</v>
      </c>
      <c r="C27" s="2" t="s">
        <v>73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5" hidden="false" customHeight="false" outlineLevel="0" collapsed="false">
      <c r="A29" s="3" t="s">
        <v>74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5" hidden="false" customHeight="false" outlineLevel="0" collapsed="false">
      <c r="A30" s="2" t="s">
        <v>75</v>
      </c>
      <c r="B30" s="6" t="n">
        <v>60000</v>
      </c>
      <c r="C30" s="2" t="s">
        <v>76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5" hidden="false" customHeight="false" outlineLevel="0" collapsed="false">
      <c r="A31" s="2" t="s">
        <v>77</v>
      </c>
      <c r="B31" s="6" t="n">
        <v>85000</v>
      </c>
      <c r="C31" s="2" t="s">
        <v>78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5" hidden="false" customHeight="false" outlineLevel="0" collapsed="false">
      <c r="A32" s="2" t="s">
        <v>79</v>
      </c>
      <c r="B32" s="10" t="n">
        <v>0.7</v>
      </c>
      <c r="C32" s="2" t="s">
        <v>80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5" hidden="false" customHeight="false" outlineLevel="0" collapsed="false">
      <c r="A33" s="2" t="s">
        <v>81</v>
      </c>
      <c r="B33" s="10" t="n">
        <v>0.03</v>
      </c>
      <c r="C33" s="2" t="s">
        <v>82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5" hidden="false" customHeight="false" outlineLevel="0" collapsed="false">
      <c r="A34" s="2" t="s">
        <v>83</v>
      </c>
      <c r="B34" s="10" t="n">
        <v>0.5</v>
      </c>
      <c r="C34" s="2" t="s">
        <v>84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5" hidden="false" customHeight="false" outlineLevel="0" collapsed="false">
      <c r="A35" s="2" t="s">
        <v>85</v>
      </c>
      <c r="B35" s="18" t="n">
        <v>150000</v>
      </c>
      <c r="C35" s="2" t="s">
        <v>86</v>
      </c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5" hidden="false" customHeight="false" outlineLevel="0" collapsed="false">
      <c r="A36" s="2" t="s">
        <v>87</v>
      </c>
      <c r="B36" s="6" t="n">
        <v>400000</v>
      </c>
      <c r="C36" s="2" t="s">
        <v>88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5" hidden="false" customHeight="false" outlineLevel="0" collapsed="false">
      <c r="A37" s="2" t="s">
        <v>89</v>
      </c>
      <c r="B37" s="6" t="n">
        <v>3340000</v>
      </c>
      <c r="C37" s="2" t="s">
        <v>90</v>
      </c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15" hidden="false" customHeight="false" outlineLevel="0" collapsed="false">
      <c r="A39" s="3" t="s">
        <v>91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15" hidden="false" customHeight="false" outlineLevel="0" collapsed="false">
      <c r="A40" s="2" t="s">
        <v>92</v>
      </c>
      <c r="B40" s="7" t="n">
        <v>1290000</v>
      </c>
      <c r="C40" s="2" t="s">
        <v>93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15" hidden="false" customHeight="false" outlineLevel="0" collapsed="false">
      <c r="A41" s="2" t="s">
        <v>94</v>
      </c>
      <c r="B41" s="6" t="n">
        <v>103000000</v>
      </c>
      <c r="C41" s="2" t="s">
        <v>78</v>
      </c>
      <c r="D41" s="4"/>
      <c r="E41" s="4"/>
      <c r="F41" s="4"/>
      <c r="G41" s="4"/>
      <c r="H41" s="4"/>
      <c r="I41" s="4"/>
      <c r="J41" s="4"/>
      <c r="K41" s="4"/>
      <c r="L41" s="4"/>
      <c r="M4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8"/>
  </cols>
  <sheetData>
    <row r="1" customFormat="false" ht="17.35" hidden="false" customHeight="false" outlineLevel="0" collapsed="false">
      <c r="A1" s="1" t="s">
        <v>95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3" t="s">
        <v>96</v>
      </c>
      <c r="B3" s="4"/>
      <c r="C3" s="4"/>
      <c r="D3" s="4"/>
      <c r="E3" s="4"/>
      <c r="F3" s="4"/>
      <c r="G3" s="4"/>
      <c r="H3" s="4"/>
      <c r="I3" s="4"/>
    </row>
    <row r="4" customFormat="false" ht="26.85" hidden="false" customHeight="false" outlineLevel="0" collapsed="false">
      <c r="A4" s="5" t="s">
        <v>18</v>
      </c>
      <c r="B4" s="5" t="s">
        <v>97</v>
      </c>
      <c r="C4" s="5" t="s">
        <v>98</v>
      </c>
      <c r="D4" s="5" t="s">
        <v>99</v>
      </c>
      <c r="E4" s="5" t="s">
        <v>100</v>
      </c>
      <c r="F4" s="5" t="s">
        <v>101</v>
      </c>
      <c r="G4" s="5" t="s">
        <v>102</v>
      </c>
      <c r="H4" s="5" t="s">
        <v>103</v>
      </c>
      <c r="I4" s="5" t="s">
        <v>104</v>
      </c>
    </row>
    <row r="5" customFormat="false" ht="15" hidden="false" customHeight="false" outlineLevel="0" collapsed="false">
      <c r="A5" s="19" t="str">
        <f aca="false">Inputs!A5</f>
        <v>SEA — Stripe cards</v>
      </c>
      <c r="B5" s="20" t="n">
        <f aca="false">Inputs!$B5*Inputs!E5</f>
        <v>675700</v>
      </c>
      <c r="C5" s="20" t="n">
        <f aca="false">Inputs!$C5*Inputs!F5</f>
        <v>243000</v>
      </c>
      <c r="D5" s="20" t="n">
        <f aca="false">Inputs!$B5*Inputs!G5</f>
        <v>605800</v>
      </c>
      <c r="E5" s="20" t="n">
        <f aca="false">Inputs!$C5*Inputs!H5</f>
        <v>202500</v>
      </c>
      <c r="F5" s="20" t="n">
        <f aca="false">Inputs!$B5*Inputs!I5</f>
        <v>605800</v>
      </c>
      <c r="G5" s="20" t="n">
        <f aca="false">Inputs!$C5*Inputs!J5</f>
        <v>202500</v>
      </c>
      <c r="H5" s="20" t="n">
        <f aca="false">Inputs!$B5*Inputs!K5</f>
        <v>605800</v>
      </c>
      <c r="I5" s="20" t="n">
        <f aca="false">Inputs!$C5*Inputs!L5</f>
        <v>202500</v>
      </c>
    </row>
    <row r="6" customFormat="false" ht="15" hidden="false" customHeight="false" outlineLevel="0" collapsed="false">
      <c r="A6" s="19" t="str">
        <f aca="false">Inputs!A6</f>
        <v>SEA — Xendit APMs</v>
      </c>
      <c r="B6" s="20" t="n">
        <f aca="false">Inputs!$B6*Inputs!E6</f>
        <v>342400</v>
      </c>
      <c r="C6" s="20" t="n">
        <f aca="false">Inputs!$C6*Inputs!F6</f>
        <v>27500</v>
      </c>
      <c r="D6" s="20" t="n">
        <f aca="false">Inputs!$B6*Inputs!G6</f>
        <v>342400</v>
      </c>
      <c r="E6" s="20" t="n">
        <f aca="false">Inputs!$C6*Inputs!H6</f>
        <v>27500</v>
      </c>
      <c r="F6" s="20" t="n">
        <f aca="false">Inputs!$B6*Inputs!I6</f>
        <v>342400</v>
      </c>
      <c r="G6" s="20" t="n">
        <f aca="false">Inputs!$C6*Inputs!J6</f>
        <v>27500</v>
      </c>
      <c r="H6" s="20" t="n">
        <f aca="false">Inputs!$B6*Inputs!K6</f>
        <v>342400</v>
      </c>
      <c r="I6" s="20" t="n">
        <f aca="false">Inputs!$C6*Inputs!L6</f>
        <v>27500</v>
      </c>
    </row>
    <row r="7" customFormat="false" ht="15" hidden="false" customHeight="false" outlineLevel="0" collapsed="false">
      <c r="A7" s="19" t="str">
        <f aca="false">Inputs!A7</f>
        <v>India</v>
      </c>
      <c r="B7" s="20" t="n">
        <f aca="false">Inputs!$B7*Inputs!E7</f>
        <v>522000</v>
      </c>
      <c r="C7" s="20" t="n">
        <f aca="false">Inputs!$C7*Inputs!F7</f>
        <v>102000</v>
      </c>
      <c r="D7" s="20" t="n">
        <f aca="false">Inputs!$B7*Inputs!G7</f>
        <v>468000</v>
      </c>
      <c r="E7" s="20" t="n">
        <f aca="false">Inputs!$C7*Inputs!H7</f>
        <v>85000</v>
      </c>
      <c r="F7" s="20" t="n">
        <f aca="false">Inputs!$B7*Inputs!I7</f>
        <v>450000</v>
      </c>
      <c r="G7" s="20" t="n">
        <f aca="false">Inputs!$C7*Inputs!J7</f>
        <v>0</v>
      </c>
      <c r="H7" s="20" t="n">
        <f aca="false">Inputs!$B7*Inputs!K7</f>
        <v>360000</v>
      </c>
      <c r="I7" s="20" t="n">
        <f aca="false">Inputs!$C7*Inputs!L7</f>
        <v>0</v>
      </c>
    </row>
    <row r="8" customFormat="false" ht="15" hidden="false" customHeight="false" outlineLevel="0" collapsed="false">
      <c r="A8" s="19" t="str">
        <f aca="false">Inputs!A8</f>
        <v>Africa</v>
      </c>
      <c r="B8" s="20" t="n">
        <f aca="false">Inputs!$B8*Inputs!E8</f>
        <v>311500</v>
      </c>
      <c r="C8" s="20" t="n">
        <f aca="false">Inputs!$C8*Inputs!F8</f>
        <v>28500</v>
      </c>
      <c r="D8" s="20" t="n">
        <f aca="false">Inputs!$B8*Inputs!G8</f>
        <v>311500</v>
      </c>
      <c r="E8" s="20" t="n">
        <f aca="false">Inputs!$C8*Inputs!H8</f>
        <v>28500</v>
      </c>
      <c r="F8" s="20" t="n">
        <f aca="false">Inputs!$B8*Inputs!I8</f>
        <v>222500</v>
      </c>
      <c r="G8" s="20" t="n">
        <f aca="false">Inputs!$C8*Inputs!J8</f>
        <v>0</v>
      </c>
      <c r="H8" s="20" t="n">
        <f aca="false">Inputs!$B8*Inputs!K8</f>
        <v>178000</v>
      </c>
      <c r="I8" s="20" t="n">
        <f aca="false">Inputs!$C8*Inputs!L8</f>
        <v>0</v>
      </c>
    </row>
    <row r="9" customFormat="false" ht="15" hidden="false" customHeight="false" outlineLevel="0" collapsed="false">
      <c r="A9" s="19" t="str">
        <f aca="false">Inputs!A9</f>
        <v>LatAm</v>
      </c>
      <c r="B9" s="20" t="n">
        <f aca="false">Inputs!$B9*Inputs!E9</f>
        <v>319000</v>
      </c>
      <c r="C9" s="20" t="n">
        <f aca="false">Inputs!$C9*Inputs!F9</f>
        <v>84000</v>
      </c>
      <c r="D9" s="20" t="n">
        <f aca="false">Inputs!$B9*Inputs!G9</f>
        <v>286000</v>
      </c>
      <c r="E9" s="20" t="n">
        <f aca="false">Inputs!$C9*Inputs!H9</f>
        <v>70000</v>
      </c>
      <c r="F9" s="20" t="n">
        <f aca="false">Inputs!$B9*Inputs!I9</f>
        <v>330000</v>
      </c>
      <c r="G9" s="20" t="n">
        <f aca="false">Inputs!$C9*Inputs!J9</f>
        <v>0</v>
      </c>
      <c r="H9" s="20" t="n">
        <f aca="false">Inputs!$B9*Inputs!K9</f>
        <v>275000</v>
      </c>
      <c r="I9" s="20" t="n">
        <f aca="false">Inputs!$C9*Inputs!L9</f>
        <v>0</v>
      </c>
    </row>
    <row r="10" customFormat="false" ht="15" hidden="false" customHeight="false" outlineLevel="0" collapsed="false">
      <c r="A10" s="19" t="str">
        <f aca="false">Inputs!A10</f>
        <v>Europe</v>
      </c>
      <c r="B10" s="20" t="n">
        <f aca="false">Inputs!$B10*Inputs!E10</f>
        <v>290000</v>
      </c>
      <c r="C10" s="20" t="n">
        <f aca="false">Inputs!$C10*Inputs!F10</f>
        <v>72000</v>
      </c>
      <c r="D10" s="20" t="n">
        <f aca="false">Inputs!$B10*Inputs!G10</f>
        <v>260000</v>
      </c>
      <c r="E10" s="20" t="n">
        <f aca="false">Inputs!$C10*Inputs!H10</f>
        <v>60000</v>
      </c>
      <c r="F10" s="20" t="n">
        <f aca="false">Inputs!$B10*Inputs!I10</f>
        <v>260000</v>
      </c>
      <c r="G10" s="20" t="n">
        <f aca="false">Inputs!$C10*Inputs!J10</f>
        <v>60000</v>
      </c>
      <c r="H10" s="20" t="n">
        <f aca="false">Inputs!$B10*Inputs!K10</f>
        <v>260000</v>
      </c>
      <c r="I10" s="20" t="n">
        <f aca="false">Inputs!$C10*Inputs!L10</f>
        <v>60000</v>
      </c>
    </row>
    <row r="11" customFormat="false" ht="15" hidden="false" customHeight="false" outlineLevel="0" collapsed="false">
      <c r="A11" s="19" t="str">
        <f aca="false">Inputs!A11</f>
        <v>North America</v>
      </c>
      <c r="B11" s="20" t="n">
        <f aca="false">Inputs!$B11*Inputs!E11</f>
        <v>205900</v>
      </c>
      <c r="C11" s="20" t="n">
        <f aca="false">Inputs!$C11*Inputs!F11</f>
        <v>69000</v>
      </c>
      <c r="D11" s="20" t="n">
        <f aca="false">Inputs!$B11*Inputs!G11</f>
        <v>184600</v>
      </c>
      <c r="E11" s="20" t="n">
        <f aca="false">Inputs!$C11*Inputs!H11</f>
        <v>57500</v>
      </c>
      <c r="F11" s="20" t="n">
        <f aca="false">Inputs!$B11*Inputs!I11</f>
        <v>184600</v>
      </c>
      <c r="G11" s="20" t="n">
        <f aca="false">Inputs!$C11*Inputs!J11</f>
        <v>57500</v>
      </c>
      <c r="H11" s="20" t="n">
        <f aca="false">Inputs!$B11*Inputs!K11</f>
        <v>184600</v>
      </c>
      <c r="I11" s="20" t="n">
        <f aca="false">Inputs!$C11*Inputs!L11</f>
        <v>57500</v>
      </c>
    </row>
    <row r="12" customFormat="false" ht="15" hidden="false" customHeight="false" outlineLevel="0" collapsed="false">
      <c r="A12" s="3" t="s">
        <v>48</v>
      </c>
      <c r="B12" s="11" t="n">
        <f aca="false">SUM(B5:B11)</f>
        <v>2666500</v>
      </c>
      <c r="C12" s="11" t="n">
        <f aca="false">SUM(C5:C11)</f>
        <v>626000</v>
      </c>
      <c r="D12" s="11" t="n">
        <f aca="false">SUM(D5:D11)</f>
        <v>2458300</v>
      </c>
      <c r="E12" s="11" t="n">
        <f aca="false">SUM(E5:E11)</f>
        <v>531000</v>
      </c>
      <c r="F12" s="11" t="n">
        <f aca="false">SUM(F5:F11)</f>
        <v>2395300</v>
      </c>
      <c r="G12" s="11" t="n">
        <f aca="false">SUM(G5:G11)</f>
        <v>347500</v>
      </c>
      <c r="H12" s="11" t="n">
        <f aca="false">SUM(H5:H11)</f>
        <v>2205800</v>
      </c>
      <c r="I12" s="11" t="n">
        <f aca="false">SUM(I5:I11)</f>
        <v>347500</v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false" outlineLevel="0" collapsed="false">
      <c r="A14" s="3" t="s">
        <v>105</v>
      </c>
      <c r="B14" s="4"/>
      <c r="C14" s="4"/>
      <c r="D14" s="4"/>
      <c r="E14" s="4"/>
      <c r="F14" s="4"/>
      <c r="G14" s="4"/>
      <c r="H14" s="4"/>
      <c r="I14" s="4"/>
    </row>
    <row r="15" customFormat="false" ht="26.85" hidden="false" customHeight="false" outlineLevel="0" collapsed="false">
      <c r="A15" s="5" t="s">
        <v>106</v>
      </c>
      <c r="B15" s="5" t="s">
        <v>107</v>
      </c>
      <c r="C15" s="5" t="s">
        <v>108</v>
      </c>
      <c r="D15" s="5" t="s">
        <v>109</v>
      </c>
      <c r="E15" s="5" t="s">
        <v>110</v>
      </c>
      <c r="F15" s="5" t="s">
        <v>111</v>
      </c>
      <c r="G15" s="4"/>
      <c r="H15" s="4"/>
      <c r="I15" s="4"/>
    </row>
    <row r="16" customFormat="false" ht="15" hidden="false" customHeight="false" outlineLevel="0" collapsed="false">
      <c r="A16" s="2" t="s">
        <v>112</v>
      </c>
      <c r="B16" s="17" t="n">
        <f aca="false">B12+C12</f>
        <v>3292500</v>
      </c>
      <c r="C16" s="17" t="n">
        <f aca="false">D12+E12</f>
        <v>2989300</v>
      </c>
      <c r="D16" s="17" t="n">
        <f aca="false">F12+G12</f>
        <v>2742800</v>
      </c>
      <c r="E16" s="17" t="n">
        <f aca="false">H12+I12</f>
        <v>2553300</v>
      </c>
      <c r="F16" s="2" t="s">
        <v>113</v>
      </c>
      <c r="G16" s="4"/>
      <c r="H16" s="4"/>
      <c r="I16" s="4"/>
    </row>
    <row r="17" customFormat="false" ht="15" hidden="false" customHeight="false" outlineLevel="0" collapsed="false">
      <c r="A17" s="2" t="s">
        <v>114</v>
      </c>
      <c r="B17" s="17" t="n">
        <v>0</v>
      </c>
      <c r="C17" s="17" t="n">
        <v>0</v>
      </c>
      <c r="D17" s="17" t="n">
        <f aca="false">Inputs!$C$12*Inputs!$B$24</f>
        <v>176000</v>
      </c>
      <c r="E17" s="17" t="n">
        <f aca="false">Inputs!$C$12*Inputs!$B$24</f>
        <v>176000</v>
      </c>
      <c r="F17" s="2" t="s">
        <v>73</v>
      </c>
      <c r="G17" s="4"/>
      <c r="H17" s="4"/>
      <c r="I17" s="4"/>
    </row>
    <row r="18" customFormat="false" ht="15" hidden="false" customHeight="false" outlineLevel="0" collapsed="false">
      <c r="A18" s="2" t="s">
        <v>115</v>
      </c>
      <c r="B18" s="17" t="n">
        <v>0</v>
      </c>
      <c r="C18" s="17" t="n">
        <v>0</v>
      </c>
      <c r="D18" s="17" t="n">
        <f aca="false">Inputs!$B$12*Inputs!$B$25</f>
        <v>267000</v>
      </c>
      <c r="E18" s="17" t="n">
        <f aca="false">Inputs!$B$12*Inputs!$B$25</f>
        <v>267000</v>
      </c>
      <c r="F18" s="2" t="s">
        <v>73</v>
      </c>
      <c r="G18" s="4"/>
      <c r="H18" s="4"/>
      <c r="I18" s="4"/>
    </row>
    <row r="19" customFormat="false" ht="15" hidden="false" customHeight="false" outlineLevel="0" collapsed="false">
      <c r="A19" s="2" t="s">
        <v>116</v>
      </c>
      <c r="B19" s="17" t="n">
        <v>0</v>
      </c>
      <c r="C19" s="17" t="n">
        <v>0</v>
      </c>
      <c r="D19" s="17" t="n">
        <f aca="false">Inputs!$B$27*Inputs!$B$26</f>
        <v>71900</v>
      </c>
      <c r="E19" s="17" t="n">
        <f aca="false">Inputs!$B$27*Inputs!$B$26</f>
        <v>71900</v>
      </c>
      <c r="F19" s="2" t="s">
        <v>73</v>
      </c>
      <c r="G19" s="4"/>
      <c r="H19" s="4"/>
      <c r="I19" s="4"/>
    </row>
    <row r="20" customFormat="false" ht="15" hidden="false" customHeight="false" outlineLevel="0" collapsed="false">
      <c r="A20" s="2" t="s">
        <v>117</v>
      </c>
      <c r="B20" s="17" t="n">
        <f aca="false">Inputs!$B$30</f>
        <v>60000</v>
      </c>
      <c r="C20" s="17" t="n">
        <f aca="false">Inputs!$B$30</f>
        <v>60000</v>
      </c>
      <c r="D20" s="17" t="n">
        <v>0</v>
      </c>
      <c r="E20" s="17" t="n">
        <v>0</v>
      </c>
      <c r="F20" s="2" t="s">
        <v>78</v>
      </c>
      <c r="G20" s="4"/>
      <c r="H20" s="4"/>
      <c r="I20" s="4"/>
    </row>
    <row r="21" customFormat="false" ht="15" hidden="false" customHeight="false" outlineLevel="0" collapsed="false">
      <c r="A21" s="2" t="s">
        <v>118</v>
      </c>
      <c r="B21" s="17" t="n">
        <f aca="false">Inputs!$B$31</f>
        <v>85000</v>
      </c>
      <c r="C21" s="17" t="n">
        <f aca="false">Inputs!$B$31</f>
        <v>85000</v>
      </c>
      <c r="D21" s="17" t="n">
        <f aca="false">Inputs!$B$31*(1-Inputs!$B$32)</f>
        <v>25500</v>
      </c>
      <c r="E21" s="17" t="n">
        <f aca="false">Inputs!$B$31*(1-Inputs!$B$32)</f>
        <v>25500</v>
      </c>
      <c r="F21" s="2" t="s">
        <v>119</v>
      </c>
      <c r="G21" s="4"/>
      <c r="H21" s="4"/>
      <c r="I21" s="4"/>
    </row>
    <row r="22" customFormat="false" ht="15" hidden="false" customHeight="false" outlineLevel="0" collapsed="false">
      <c r="A22" s="3" t="s">
        <v>120</v>
      </c>
      <c r="B22" s="11" t="n">
        <f aca="false">SUM(B16:B21)</f>
        <v>3437500</v>
      </c>
      <c r="C22" s="11" t="n">
        <f aca="false">SUM(C16:C21)</f>
        <v>3134300</v>
      </c>
      <c r="D22" s="11" t="n">
        <f aca="false">SUM(D16:D21)</f>
        <v>3283200</v>
      </c>
      <c r="E22" s="11" t="n">
        <f aca="false">SUM(E16:E21)</f>
        <v>3093700</v>
      </c>
      <c r="F22" s="3" t="s">
        <v>73</v>
      </c>
      <c r="G22" s="4"/>
      <c r="H22" s="4"/>
      <c r="I22" s="4"/>
    </row>
    <row r="23" customFormat="false" ht="15" hidden="false" customHeight="false" outlineLevel="0" collapsed="false">
      <c r="A23" s="2" t="s">
        <v>121</v>
      </c>
      <c r="B23" s="17"/>
      <c r="C23" s="17" t="n">
        <f aca="false">C22-$B$22</f>
        <v>-303200</v>
      </c>
      <c r="D23" s="17" t="n">
        <f aca="false">D22-$B$22</f>
        <v>-154300</v>
      </c>
      <c r="E23" s="17" t="n">
        <f aca="false">E22-$B$22</f>
        <v>-343800</v>
      </c>
      <c r="F23" s="2" t="s">
        <v>73</v>
      </c>
      <c r="G23" s="4"/>
      <c r="H23" s="4"/>
      <c r="I23" s="4"/>
    </row>
    <row r="24" customFormat="false" ht="15" hidden="false" customHeight="false" outlineLevel="0" collapsed="false">
      <c r="A24" s="2" t="s">
        <v>122</v>
      </c>
      <c r="B24" s="17"/>
      <c r="C24" s="17"/>
      <c r="D24" s="17" t="n">
        <f aca="false">D22-$C$22</f>
        <v>148900</v>
      </c>
      <c r="E24" s="17" t="n">
        <f aca="false">E22-$C$22</f>
        <v>-40600</v>
      </c>
      <c r="F24" s="2" t="s">
        <v>73</v>
      </c>
      <c r="G24" s="4"/>
      <c r="H24" s="4"/>
      <c r="I24" s="4"/>
    </row>
    <row r="25" customFormat="false" ht="15" hidden="false" customHeight="false" outlineLevel="0" collapsed="false">
      <c r="A25" s="2" t="s">
        <v>123</v>
      </c>
      <c r="B25" s="21" t="n">
        <f aca="false">(B16+B17+B18+B19)/Inputs!$B$12</f>
        <v>0.0369943820224719</v>
      </c>
      <c r="C25" s="21" t="n">
        <f aca="false">(C16+C17+C18+C19)/Inputs!$B$12</f>
        <v>0.0335876404494382</v>
      </c>
      <c r="D25" s="21" t="n">
        <f aca="false">(D16+D17+D18+D19)/Inputs!$B$12</f>
        <v>0.0366033707865169</v>
      </c>
      <c r="E25" s="21" t="n">
        <f aca="false">(E16+E17+E18+E19)/Inputs!$B$12</f>
        <v>0.0344741573033708</v>
      </c>
      <c r="F25" s="2" t="s">
        <v>73</v>
      </c>
      <c r="G25" s="4"/>
      <c r="H25" s="4"/>
      <c r="I25" s="4"/>
    </row>
    <row r="26" customFormat="false" ht="15" hidden="false" customHeight="false" outlineLevel="0" collapsed="false">
      <c r="A26" s="4" t="s">
        <v>124</v>
      </c>
      <c r="B26" s="13" t="n">
        <f aca="false">Inputs!B37</f>
        <v>3340000</v>
      </c>
      <c r="C26" s="4"/>
      <c r="D26" s="4"/>
      <c r="E26" s="4"/>
      <c r="F26" s="4" t="s">
        <v>125</v>
      </c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3" t="s">
        <v>126</v>
      </c>
      <c r="B28" s="4"/>
      <c r="C28" s="4"/>
      <c r="D28" s="4"/>
      <c r="E28" s="4"/>
      <c r="F28" s="4"/>
      <c r="G28" s="4"/>
      <c r="H28" s="4"/>
      <c r="I28" s="4"/>
    </row>
    <row r="29" customFormat="false" ht="26.85" hidden="false" customHeight="false" outlineLevel="0" collapsed="false">
      <c r="A29" s="5" t="s">
        <v>51</v>
      </c>
      <c r="B29" s="5" t="s">
        <v>127</v>
      </c>
      <c r="C29" s="5" t="s">
        <v>128</v>
      </c>
      <c r="D29" s="5" t="s">
        <v>129</v>
      </c>
      <c r="E29" s="5" t="s">
        <v>130</v>
      </c>
      <c r="F29" s="5" t="s">
        <v>131</v>
      </c>
      <c r="G29" s="5" t="s">
        <v>132</v>
      </c>
      <c r="H29" s="4"/>
      <c r="I29" s="4"/>
    </row>
    <row r="30" customFormat="false" ht="15" hidden="false" customHeight="false" outlineLevel="0" collapsed="false">
      <c r="A30" s="19" t="str">
        <f aca="false">Inputs!A16</f>
        <v>Southeast Asia</v>
      </c>
      <c r="B30" s="13" t="n">
        <f aca="false">Inputs!B16</f>
        <v>34000000</v>
      </c>
      <c r="C30" s="22" t="n">
        <f aca="false">Inputs!C16</f>
        <v>0.81</v>
      </c>
      <c r="D30" s="20" t="n">
        <f aca="false">IF(C30&gt;0,B30/C30,0)</f>
        <v>41975308.6419753</v>
      </c>
      <c r="E30" s="20" t="n">
        <f aca="false">D30*Inputs!D16</f>
        <v>629629.62962963</v>
      </c>
      <c r="F30" s="20" t="n">
        <f aca="false">D30*Inputs!E16</f>
        <v>1259259.25925926</v>
      </c>
      <c r="G30" s="20" t="n">
        <f aca="false">E30*Inputs!$B$34</f>
        <v>314814.814814815</v>
      </c>
      <c r="H30" s="4"/>
      <c r="I30" s="4"/>
    </row>
    <row r="31" customFormat="false" ht="15" hidden="false" customHeight="false" outlineLevel="0" collapsed="false">
      <c r="A31" s="19" t="str">
        <f aca="false">Inputs!A17</f>
        <v>India</v>
      </c>
      <c r="B31" s="13" t="n">
        <f aca="false">Inputs!B17</f>
        <v>18000000</v>
      </c>
      <c r="C31" s="22" t="n">
        <f aca="false">Inputs!C17</f>
        <v>0.79</v>
      </c>
      <c r="D31" s="20" t="n">
        <f aca="false">IF(C31&gt;0,B31/C31,0)</f>
        <v>22784810.1265823</v>
      </c>
      <c r="E31" s="20" t="n">
        <f aca="false">D31*Inputs!D17</f>
        <v>683544.303797468</v>
      </c>
      <c r="F31" s="20" t="n">
        <f aca="false">D31*Inputs!E17</f>
        <v>1139240.50632911</v>
      </c>
      <c r="G31" s="20" t="n">
        <f aca="false">E31*Inputs!$B$34</f>
        <v>341772.151898734</v>
      </c>
      <c r="H31" s="4"/>
      <c r="I31" s="4"/>
    </row>
    <row r="32" customFormat="false" ht="15" hidden="false" customHeight="false" outlineLevel="0" collapsed="false">
      <c r="A32" s="19" t="str">
        <f aca="false">Inputs!A18</f>
        <v>Africa</v>
      </c>
      <c r="B32" s="13" t="n">
        <f aca="false">Inputs!B18</f>
        <v>8900000</v>
      </c>
      <c r="C32" s="22" t="n">
        <f aca="false">Inputs!C18</f>
        <v>0.73</v>
      </c>
      <c r="D32" s="20" t="n">
        <f aca="false">IF(C32&gt;0,B32/C32,0)</f>
        <v>12191780.8219178</v>
      </c>
      <c r="E32" s="20" t="n">
        <f aca="false">D32*Inputs!D18</f>
        <v>365753.424657534</v>
      </c>
      <c r="F32" s="20" t="n">
        <f aca="false">D32*Inputs!E18</f>
        <v>609589.041095891</v>
      </c>
      <c r="G32" s="20" t="n">
        <f aca="false">E32*Inputs!$B$34</f>
        <v>182876.712328767</v>
      </c>
      <c r="H32" s="4"/>
      <c r="I32" s="4"/>
    </row>
    <row r="33" customFormat="false" ht="15" hidden="false" customHeight="false" outlineLevel="0" collapsed="false">
      <c r="A33" s="19" t="str">
        <f aca="false">Inputs!A19</f>
        <v>Latin America</v>
      </c>
      <c r="B33" s="13" t="n">
        <f aca="false">Inputs!B19</f>
        <v>11000000</v>
      </c>
      <c r="C33" s="22" t="n">
        <f aca="false">Inputs!C19</f>
        <v>0.77</v>
      </c>
      <c r="D33" s="20" t="n">
        <f aca="false">IF(C33&gt;0,B33/C33,0)</f>
        <v>14285714.2857143</v>
      </c>
      <c r="E33" s="20" t="n">
        <f aca="false">D33*Inputs!D19</f>
        <v>428571.428571429</v>
      </c>
      <c r="F33" s="20" t="n">
        <f aca="false">D33*Inputs!E19</f>
        <v>714285.714285714</v>
      </c>
      <c r="G33" s="20" t="n">
        <f aca="false">E33*Inputs!$B$34</f>
        <v>214285.714285714</v>
      </c>
      <c r="H33" s="4"/>
      <c r="I33" s="4"/>
    </row>
    <row r="34" customFormat="false" ht="15" hidden="false" customHeight="false" outlineLevel="0" collapsed="false">
      <c r="A34" s="19" t="str">
        <f aca="false">Inputs!A20</f>
        <v>Europe</v>
      </c>
      <c r="B34" s="13" t="n">
        <f aca="false">Inputs!B20</f>
        <v>10000000</v>
      </c>
      <c r="C34" s="22" t="n">
        <f aca="false">Inputs!C20</f>
        <v>0.86</v>
      </c>
      <c r="D34" s="20" t="n">
        <f aca="false">IF(C34&gt;0,B34/C34,0)</f>
        <v>11627906.9767442</v>
      </c>
      <c r="E34" s="20" t="n">
        <f aca="false">D34*Inputs!D20</f>
        <v>0</v>
      </c>
      <c r="F34" s="20" t="n">
        <f aca="false">D34*Inputs!E20</f>
        <v>0</v>
      </c>
      <c r="G34" s="20" t="n">
        <f aca="false">E34*Inputs!$B$34</f>
        <v>0</v>
      </c>
      <c r="H34" s="4"/>
      <c r="I34" s="4"/>
    </row>
    <row r="35" customFormat="false" ht="15" hidden="false" customHeight="false" outlineLevel="0" collapsed="false">
      <c r="A35" s="19" t="str">
        <f aca="false">Inputs!A21</f>
        <v>North America</v>
      </c>
      <c r="B35" s="13" t="n">
        <f aca="false">Inputs!B21</f>
        <v>7100000</v>
      </c>
      <c r="C35" s="22" t="n">
        <f aca="false">Inputs!C21</f>
        <v>0.88</v>
      </c>
      <c r="D35" s="20" t="n">
        <f aca="false">IF(C35&gt;0,B35/C35,0)</f>
        <v>8068181.81818182</v>
      </c>
      <c r="E35" s="20" t="n">
        <f aca="false">D35*Inputs!D21</f>
        <v>0</v>
      </c>
      <c r="F35" s="20" t="n">
        <f aca="false">D35*Inputs!E21</f>
        <v>0</v>
      </c>
      <c r="G35" s="20" t="n">
        <f aca="false">E35*Inputs!$B$34</f>
        <v>0</v>
      </c>
      <c r="H35" s="4"/>
      <c r="I35" s="4"/>
    </row>
    <row r="36" customFormat="false" ht="15" hidden="false" customHeight="false" outlineLevel="0" collapsed="false">
      <c r="A36" s="3" t="s">
        <v>48</v>
      </c>
      <c r="B36" s="11" t="n">
        <f aca="false">SUM(B30:B35)</f>
        <v>89000000</v>
      </c>
      <c r="C36" s="4"/>
      <c r="D36" s="11" t="n">
        <f aca="false">SUM(D30:D35)</f>
        <v>110933702.671116</v>
      </c>
      <c r="E36" s="11" t="n">
        <f aca="false">SUM(E30:E35)</f>
        <v>2107498.78665606</v>
      </c>
      <c r="F36" s="11" t="n">
        <f aca="false">SUM(F30:F35)</f>
        <v>3722374.52096998</v>
      </c>
      <c r="G36" s="11" t="n">
        <f aca="false">SUM(G30:G35)</f>
        <v>1053749.39332803</v>
      </c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3" t="s">
        <v>133</v>
      </c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A39" s="5" t="s">
        <v>106</v>
      </c>
      <c r="B39" s="5" t="s">
        <v>134</v>
      </c>
      <c r="C39" s="5" t="s">
        <v>135</v>
      </c>
      <c r="D39" s="5" t="s">
        <v>136</v>
      </c>
      <c r="E39" s="5" t="s">
        <v>111</v>
      </c>
      <c r="F39" s="4"/>
      <c r="G39" s="4"/>
      <c r="H39" s="4"/>
      <c r="I39" s="4"/>
    </row>
    <row r="40" customFormat="false" ht="15" hidden="false" customHeight="false" outlineLevel="0" collapsed="false">
      <c r="A40" s="2" t="s">
        <v>137</v>
      </c>
      <c r="B40" s="17" t="n">
        <f aca="false">G36</f>
        <v>1053749.39332803</v>
      </c>
      <c r="C40" s="17" t="n">
        <f aca="false">E36</f>
        <v>2107498.78665606</v>
      </c>
      <c r="D40" s="17" t="n">
        <f aca="false">F36</f>
        <v>3722374.52096998</v>
      </c>
      <c r="E40" s="2" t="s">
        <v>73</v>
      </c>
      <c r="F40" s="4"/>
      <c r="G40" s="4"/>
      <c r="H40" s="4"/>
      <c r="I40" s="4"/>
    </row>
    <row r="41" customFormat="false" ht="15" hidden="false" customHeight="false" outlineLevel="0" collapsed="false">
      <c r="A41" s="2" t="s">
        <v>138</v>
      </c>
      <c r="B41" s="17" t="n">
        <f aca="false">-B40*Inputs!$B$33</f>
        <v>-31612.4817998409</v>
      </c>
      <c r="C41" s="17" t="n">
        <f aca="false">-C40*Inputs!$B$33</f>
        <v>-63224.9635996818</v>
      </c>
      <c r="D41" s="17" t="n">
        <f aca="false">-D40*Inputs!$B$33</f>
        <v>-111671.235629099</v>
      </c>
      <c r="E41" s="2" t="s">
        <v>139</v>
      </c>
      <c r="F41" s="4"/>
      <c r="G41" s="4"/>
      <c r="H41" s="4"/>
      <c r="I41" s="4"/>
    </row>
    <row r="42" customFormat="false" ht="15" hidden="false" customHeight="false" outlineLevel="0" collapsed="false">
      <c r="A42" s="2" t="s">
        <v>140</v>
      </c>
      <c r="B42" s="17" t="n">
        <f aca="false">B40+B41</f>
        <v>1022136.91152819</v>
      </c>
      <c r="C42" s="17" t="n">
        <f aca="false">C40+C41</f>
        <v>2044273.82305638</v>
      </c>
      <c r="D42" s="17" t="n">
        <f aca="false">D40+D41</f>
        <v>3610703.28534088</v>
      </c>
      <c r="E42" s="2" t="s">
        <v>73</v>
      </c>
      <c r="F42" s="4"/>
      <c r="G42" s="4"/>
      <c r="H42" s="4"/>
      <c r="I42" s="4"/>
    </row>
    <row r="43" customFormat="false" ht="15" hidden="false" customHeight="false" outlineLevel="0" collapsed="false">
      <c r="A43" s="2" t="s">
        <v>141</v>
      </c>
      <c r="B43" s="17" t="n">
        <f aca="false">-D24</f>
        <v>-148900</v>
      </c>
      <c r="C43" s="17" t="n">
        <f aca="false">-D24</f>
        <v>-148900</v>
      </c>
      <c r="D43" s="17" t="n">
        <f aca="false">-E24</f>
        <v>40600</v>
      </c>
      <c r="E43" s="2" t="s">
        <v>73</v>
      </c>
      <c r="F43" s="4"/>
      <c r="G43" s="4"/>
      <c r="H43" s="4"/>
      <c r="I43" s="4"/>
    </row>
    <row r="44" customFormat="false" ht="15" hidden="false" customHeight="false" outlineLevel="0" collapsed="false">
      <c r="A44" s="3" t="s">
        <v>142</v>
      </c>
      <c r="B44" s="11" t="n">
        <f aca="false">B42+B43</f>
        <v>873236.911528189</v>
      </c>
      <c r="C44" s="11" t="n">
        <f aca="false">C42+C43</f>
        <v>1895373.82305638</v>
      </c>
      <c r="D44" s="11" t="n">
        <f aca="false">D42+D43</f>
        <v>3651303.28534088</v>
      </c>
      <c r="E44" s="3" t="s">
        <v>73</v>
      </c>
      <c r="F44" s="4"/>
      <c r="G44" s="4"/>
      <c r="H44" s="4"/>
      <c r="I44" s="4"/>
    </row>
    <row r="45" customFormat="false" ht="15" hidden="false" customHeight="false" outlineLevel="0" collapsed="false">
      <c r="A45" s="2" t="s">
        <v>143</v>
      </c>
      <c r="B45" s="23" t="n">
        <f aca="false">IF(B44&gt;0,Inputs!$B$35/(B44/12),"n/a")</f>
        <v>2.0612962831014</v>
      </c>
      <c r="C45" s="23" t="n">
        <f aca="false">IF(C44&gt;0,Inputs!$B$35/(C44/12),"n/a")</f>
        <v>0.949680732161541</v>
      </c>
      <c r="D45" s="23" t="n">
        <f aca="false">IF(D44&gt;0,Inputs!$B$35/(D44/12),"n/a")</f>
        <v>0.492974661191957</v>
      </c>
      <c r="E45" s="2" t="s">
        <v>144</v>
      </c>
      <c r="F45" s="4"/>
      <c r="G45" s="4"/>
      <c r="H45" s="4"/>
      <c r="I45" s="4"/>
    </row>
    <row r="46" customFormat="false" ht="15" hidden="false" customHeight="false" outlineLevel="0" collapsed="false">
      <c r="A46" s="2" t="s">
        <v>145</v>
      </c>
      <c r="B46" s="23" t="n">
        <f aca="false">IF(B44&gt;0,Inputs!$B$36/(B44/12),"n/a")</f>
        <v>5.49679008827039</v>
      </c>
      <c r="C46" s="23" t="n">
        <f aca="false">IF(C44&gt;0,Inputs!$B$36/(C44/12),"n/a")</f>
        <v>2.53248195243077</v>
      </c>
      <c r="D46" s="23" t="n">
        <f aca="false">IF(D44&gt;0,Inputs!$B$36/(D44/12),"n/a")</f>
        <v>1.31459909651189</v>
      </c>
      <c r="E46" s="2" t="s">
        <v>146</v>
      </c>
      <c r="F46" s="4"/>
      <c r="G46" s="4"/>
      <c r="H46" s="4"/>
      <c r="I46" s="4"/>
    </row>
    <row r="47" customFormat="false" ht="15" hidden="false" customHeight="false" outlineLevel="0" collapsed="false">
      <c r="A47" s="2" t="s">
        <v>147</v>
      </c>
      <c r="B47" s="17" t="n">
        <f aca="false">B42-D23</f>
        <v>1176436.91152819</v>
      </c>
      <c r="C47" s="17" t="n">
        <f aca="false">C42-D23</f>
        <v>2198573.82305638</v>
      </c>
      <c r="D47" s="17" t="n">
        <f aca="false">D42-E23</f>
        <v>3954503.28534088</v>
      </c>
      <c r="E47" s="2" t="s">
        <v>73</v>
      </c>
      <c r="F47" s="4"/>
      <c r="G47" s="4"/>
      <c r="H47" s="4"/>
      <c r="I47" s="4"/>
    </row>
    <row r="48" customFormat="false" ht="15" hidden="false" customHeight="false" outlineLevel="0" collapsed="false">
      <c r="A48" s="2" t="s">
        <v>148</v>
      </c>
      <c r="B48" s="24" t="n">
        <f aca="false">B47/$B$22</f>
        <v>0.342236192444564</v>
      </c>
      <c r="C48" s="24" t="n">
        <f aca="false">C47/$B$22</f>
        <v>0.639585112161856</v>
      </c>
      <c r="D48" s="24" t="n">
        <f aca="false">D47/$B$22</f>
        <v>1.15040095573553</v>
      </c>
      <c r="E48" s="2" t="s">
        <v>149</v>
      </c>
      <c r="F48" s="4"/>
      <c r="G48" s="4"/>
      <c r="H48" s="4"/>
      <c r="I48" s="4"/>
    </row>
    <row r="49" customFormat="false" ht="15" hidden="false" customHeight="false" outlineLevel="0" collapsed="false">
      <c r="A49" s="4" t="s">
        <v>150</v>
      </c>
      <c r="B49" s="4"/>
      <c r="C49" s="4"/>
      <c r="D49" s="4"/>
      <c r="E49" s="4"/>
      <c r="F49" s="4"/>
      <c r="G49" s="4"/>
      <c r="H49" s="4"/>
      <c r="I49" s="4"/>
    </row>
    <row r="51" customFormat="false" ht="15" hidden="false" customHeight="false" outlineLevel="0" collapsed="false">
      <c r="A51" s="3" t="s">
        <v>151</v>
      </c>
      <c r="B51" s="17" t="n">
        <f aca="false">Model!D24-Model!D19</f>
        <v>77000</v>
      </c>
      <c r="C51" s="2" t="s">
        <v>152</v>
      </c>
    </row>
    <row r="52" customFormat="false" ht="15" hidden="false" customHeight="false" outlineLevel="0" collapsed="false">
      <c r="A52" s="3" t="s">
        <v>153</v>
      </c>
      <c r="B52" s="17" t="n">
        <f aca="false">Model!B44/4</f>
        <v>218309.227882047</v>
      </c>
      <c r="C52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24"/>
  </cols>
  <sheetData>
    <row r="1" customFormat="false" ht="17.35" hidden="false" customHeight="false" outlineLevel="0" collapsed="false">
      <c r="A1" s="1" t="s">
        <v>155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4" t="s">
        <v>156</v>
      </c>
      <c r="B3" s="4"/>
      <c r="C3" s="4"/>
      <c r="D3" s="4"/>
    </row>
    <row r="4" customFormat="false" ht="15" hidden="false" customHeight="false" outlineLevel="0" collapsed="false">
      <c r="A4" s="4"/>
      <c r="B4" s="4" t="s">
        <v>157</v>
      </c>
      <c r="C4" s="25" t="n">
        <f aca="false">Inputs!B40/Inputs!C12</f>
        <v>0.586363636363636</v>
      </c>
      <c r="D4" s="25" t="n">
        <f aca="false">Inputs!B41/Inputs!B12</f>
        <v>1.15730337078652</v>
      </c>
    </row>
    <row r="5" customFormat="false" ht="26.85" hidden="false" customHeight="false" outlineLevel="0" collapsed="false">
      <c r="A5" s="5" t="s">
        <v>158</v>
      </c>
      <c r="B5" s="5" t="s">
        <v>159</v>
      </c>
      <c r="C5" s="5" t="s">
        <v>160</v>
      </c>
      <c r="D5" s="5" t="s">
        <v>161</v>
      </c>
    </row>
    <row r="6" customFormat="false" ht="15" hidden="false" customHeight="false" outlineLevel="0" collapsed="false">
      <c r="A6" s="4" t="s">
        <v>162</v>
      </c>
      <c r="B6" s="20" t="n">
        <f aca="false">Model!B22</f>
        <v>3437500</v>
      </c>
      <c r="C6" s="20" t="n">
        <f aca="false">Model!B12+Model!C12*$C$4+Model!B20+Model!B21</f>
        <v>3178563.63636364</v>
      </c>
      <c r="D6" s="20" t="n">
        <f aca="false">(Model!B12+Model!C12)*$D$4+Model!B20+Model!B21</f>
        <v>3955421.34831461</v>
      </c>
    </row>
    <row r="7" customFormat="false" ht="15" hidden="false" customHeight="false" outlineLevel="0" collapsed="false">
      <c r="A7" s="4" t="s">
        <v>163</v>
      </c>
      <c r="B7" s="20" t="n">
        <f aca="false">Model!C22</f>
        <v>3134300</v>
      </c>
      <c r="C7" s="20" t="n">
        <f aca="false">Model!D12+Model!E12*$C$4+Model!C20+Model!C21</f>
        <v>2914659.09090909</v>
      </c>
      <c r="D7" s="20" t="n">
        <f aca="false">(Model!D12+Model!E12)*$D$4+Model!C20+Model!C21</f>
        <v>3604526.96629213</v>
      </c>
    </row>
    <row r="8" customFormat="false" ht="15" hidden="false" customHeight="false" outlineLevel="0" collapsed="false">
      <c r="A8" s="4" t="s">
        <v>164</v>
      </c>
      <c r="B8" s="20" t="n">
        <f aca="false">Model!D22</f>
        <v>3283200</v>
      </c>
      <c r="C8" s="20" t="n">
        <f aca="false">Model!F12+Model!G12*$C$4+Model!D17*$C$4+Model!D18+Model!D19+Model!D21</f>
        <v>3066661.36363636</v>
      </c>
      <c r="D8" s="20" t="n">
        <f aca="false">(Model!F12+Model!G12+Model!D17+Model!D18+Model!D19)*$D$4+Model!D21</f>
        <v>3795647.19101124</v>
      </c>
    </row>
    <row r="9" customFormat="false" ht="15" hidden="false" customHeight="false" outlineLevel="0" collapsed="false">
      <c r="A9" s="4" t="s">
        <v>165</v>
      </c>
      <c r="B9" s="20" t="n">
        <f aca="false">Model!B44</f>
        <v>873236.911528189</v>
      </c>
      <c r="C9" s="20" t="n">
        <f aca="false">Model!B42-(C8-C7)</f>
        <v>870134.638800917</v>
      </c>
      <c r="D9" s="20" t="n">
        <f aca="false">Model!B42*$D$4-(D8-D7)</f>
        <v>991802.268397792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2026-10-01T17:45:44Z</dcterms:created>
  <dc:creator>openpyxl</dc:creator>
  <dc:description/>
  <dc:language>en-US</dc:language>
  <cp:lastModifiedBy/>
  <dcterms:modified xsi:type="dcterms:W3CDTF">2026-10-01T17:45:44Z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